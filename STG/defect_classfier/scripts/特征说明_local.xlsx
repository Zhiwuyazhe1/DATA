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<sst xmlns="http://schemas.openxmlformats.org/spreadsheetml/2006/main" count="439" uniqueCount="185">
  <si>
    <t>层次1</t>
  </si>
  <si>
    <t>层次2</t>
  </si>
  <si>
    <t>特征名称</t>
  </si>
  <si>
    <t>feature_name</t>
  </si>
  <si>
    <t>feature_id</t>
  </si>
  <si>
    <t>特征说明</t>
  </si>
  <si>
    <t>特征值</t>
  </si>
  <si>
    <t>特征值解释</t>
  </si>
  <si>
    <t>Sensitive</t>
  </si>
  <si>
    <t>Context</t>
  </si>
  <si>
    <t>缺陷满足“上下文敏感性”的场景</t>
  </si>
  <si>
    <t>调用递归函数</t>
  </si>
  <si>
    <t>在循环中调用函数</t>
  </si>
  <si>
    <t>多次调用同一函数（带参数）</t>
  </si>
  <si>
    <t>同一个函数指针的多次使用</t>
  </si>
  <si>
    <t>被调用函数依赖于全局变量/静态变量/外部资源</t>
  </si>
  <si>
    <t>Field</t>
  </si>
  <si>
    <t>缺陷满足“域敏感性”的场景</t>
  </si>
  <si>
    <t>使用了同一自定义类型的多个对象</t>
  </si>
  <si>
    <t>使用数组的多个下标</t>
  </si>
  <si>
    <t>使用了同一类型的不止一个成员变量</t>
  </si>
  <si>
    <t>在堆上分配内存转换成某类型对象超过一个(指针）</t>
  </si>
  <si>
    <t>Flow</t>
  </si>
  <si>
    <t>缺陷满足“流敏感性”的场景</t>
  </si>
  <si>
    <t>相关函数内，对【与告警点具有依赖关系的变量】赋值超过两次</t>
  </si>
  <si>
    <t>Path</t>
  </si>
  <si>
    <t>缺陷满足“路径敏感性”的场景</t>
  </si>
  <si>
    <t>缺陷路径经过条件分支内部</t>
  </si>
  <si>
    <t>缺陷路径经过循环体内部</t>
  </si>
  <si>
    <t>缺陷路径上调用了递归函数</t>
  </si>
  <si>
    <t>缺陷路径上调用的函数目标不明确（使用函数指针调用）</t>
  </si>
  <si>
    <t>终止条件与此前分支条件有依赖关系</t>
  </si>
  <si>
    <t>Semantic</t>
  </si>
  <si>
    <t>Macro</t>
  </si>
  <si>
    <t>ALL</t>
  </si>
  <si>
    <t>缺陷使用的宏</t>
  </si>
  <si>
    <t>缺陷满足该层次的任意特征</t>
  </si>
  <si>
    <t>OTHER</t>
  </si>
  <si>
    <t>使用了这个宏</t>
  </si>
  <si>
    <t>使用这个宏作为二元运算的一部分</t>
  </si>
  <si>
    <t>Special</t>
  </si>
  <si>
    <t>缺陷符合特殊场景的任意一种</t>
  </si>
  <si>
    <t>Pos</t>
  </si>
  <si>
    <t>缺陷在特殊位置的表现</t>
  </si>
  <si>
    <t>goto label的label不存在固定目标</t>
  </si>
  <si>
    <t>表示间接 goto 语句，存在固定目标</t>
  </si>
  <si>
    <t>unused</t>
  </si>
  <si>
    <t>switch 表达式的结果是计算得出的（出现大于两个变量）</t>
  </si>
  <si>
    <r>
      <rPr>
        <sz val="11"/>
        <color theme="1"/>
        <rFont val="等线"/>
        <charset val="134"/>
        <scheme val="minor"/>
      </rPr>
      <t>switch case中，case使用了非标准扩展：</t>
    </r>
    <r>
      <rPr>
        <sz val="11"/>
        <color rgb="FFFF0000"/>
        <rFont val="等线"/>
        <charset val="134"/>
        <scheme val="minor"/>
      </rPr>
      <t>case 1..5:</t>
    </r>
  </si>
  <si>
    <t>Op_Values</t>
  </si>
  <si>
    <t>缺陷包含的运算场景</t>
  </si>
  <si>
    <t>存在和宏的运算</t>
  </si>
  <si>
    <t>存在和全局变量的运算</t>
  </si>
  <si>
    <t>Assign</t>
  </si>
  <si>
    <t>缺陷包含的赋值场景</t>
  </si>
  <si>
    <t>存在普通赋值</t>
  </si>
  <si>
    <t>存在自增自减形式的值变化</t>
  </si>
  <si>
    <t>存在声明同时初始化</t>
  </si>
  <si>
    <t>存在变量声明时没有初始化，且后续有普通赋值</t>
  </si>
  <si>
    <t>存在条件内赋值</t>
  </si>
  <si>
    <t>TypeSafe</t>
  </si>
  <si>
    <t>缺陷符合类型检查的任意一种</t>
  </si>
  <si>
    <t>RETURN_types</t>
  </si>
  <si>
    <t>返回值类型和函数签名不一致的场景</t>
  </si>
  <si>
    <t>返回类型和函数签名指定类型的符号不匹配（其中一个是有符号数，一个是无符号数）</t>
  </si>
  <si>
    <t>返回类型和函数签名指定类型不同</t>
  </si>
  <si>
    <t>返回类型和函数签名指定类型不兼容</t>
  </si>
  <si>
    <t>BO_types</t>
  </si>
  <si>
    <t>二元运算两端类型不一致的场景</t>
  </si>
  <si>
    <t>二元运算两端类型的符号不匹配</t>
  </si>
  <si>
    <t>二元运算两端类型不同</t>
  </si>
  <si>
    <t>二元运算两端类型不兼容</t>
  </si>
  <si>
    <t>E_CAST</t>
  </si>
  <si>
    <t>强制类型转换的使用</t>
  </si>
  <si>
    <t>使用强制类型转换</t>
  </si>
  <si>
    <t>RECORD_DEF</t>
  </si>
  <si>
    <t>自定义类型的使用</t>
  </si>
  <si>
    <t>使用嵌套定义的自定义类型</t>
  </si>
  <si>
    <t>使用匿名自定义类型</t>
  </si>
  <si>
    <t>使用typedef struct{} （typedef匿名）</t>
  </si>
  <si>
    <t>使用联合体</t>
  </si>
  <si>
    <t>BitField</t>
  </si>
  <si>
    <t>位域的使用场景</t>
  </si>
  <si>
    <t>成员使用了位域</t>
  </si>
  <si>
    <t>使用了位域作为填充位</t>
  </si>
  <si>
    <t>MD_Array</t>
  </si>
  <si>
    <t>多维数组或二级指针的使用场景</t>
  </si>
  <si>
    <t>使用了多维数组</t>
  </si>
  <si>
    <t>使用了二级指针</t>
  </si>
  <si>
    <t>Control</t>
  </si>
  <si>
    <t>缺陷符合控制流特殊场景的任意一种</t>
  </si>
  <si>
    <t>DeadCode</t>
  </si>
  <si>
    <t>存在死代码的场景</t>
  </si>
  <si>
    <t>存在形如if(false){} 的死代码</t>
  </si>
  <si>
    <t>存在形如if(false)else{} 的情况，使得else必定执行</t>
  </si>
  <si>
    <t>存在形如if(true)else{}的情况，使得else是死代码</t>
  </si>
  <si>
    <t>存在形如while(false) 的循环死代码</t>
  </si>
  <si>
    <t>LoopState</t>
  </si>
  <si>
    <t>存在死循环的场景</t>
  </si>
  <si>
    <t>存在while或for语句中的终止条件可能导致死循环</t>
  </si>
  <si>
    <t>Switch_Default</t>
  </si>
  <si>
    <t>Switch语句是否包含default</t>
  </si>
  <si>
    <t>存在switch-case语句不包含default分支</t>
  </si>
  <si>
    <t>ControlFlow</t>
  </si>
  <si>
    <t>缺陷包含控制流结构</t>
  </si>
  <si>
    <t>存在 if、switch-case、for、while、do-while 等控制流结构</t>
  </si>
  <si>
    <t>Case</t>
  </si>
  <si>
    <t>存在Case结构，计数</t>
  </si>
  <si>
    <t>X</t>
  </si>
  <si>
    <t>存在 X个case结构</t>
  </si>
  <si>
    <t>DoWhile</t>
  </si>
  <si>
    <t>存在DoWhile计数</t>
  </si>
  <si>
    <t>存在 X个do-while 结构</t>
  </si>
  <si>
    <t>For</t>
  </si>
  <si>
    <t>存在For计数</t>
  </si>
  <si>
    <t>存在 X个for结构</t>
  </si>
  <si>
    <t>If</t>
  </si>
  <si>
    <t>存在If计数</t>
  </si>
  <si>
    <t>存在 X个if结构</t>
  </si>
  <si>
    <t>Switch</t>
  </si>
  <si>
    <t>存在Switch计数</t>
  </si>
  <si>
    <t>存在 X个switch结构</t>
  </si>
  <si>
    <t>While</t>
  </si>
  <si>
    <t>存在While计数</t>
  </si>
  <si>
    <t>存在 X个while结构</t>
  </si>
  <si>
    <t>Resource</t>
  </si>
  <si>
    <t>缺陷包含资源类函数调用</t>
  </si>
  <si>
    <t>存在文件、内存、网络、数据库等资源的 open、malloc/free、socket、fopen/fclose 等调用</t>
  </si>
  <si>
    <t>DB_Access</t>
  </si>
  <si>
    <t>数据库访问计数</t>
  </si>
  <si>
    <t>存在 X个数据库访问</t>
  </si>
  <si>
    <t>File_Close</t>
  </si>
  <si>
    <t>文件关闭计数</t>
  </si>
  <si>
    <t>存在 X个文件关闭</t>
  </si>
  <si>
    <t>File_Open</t>
  </si>
  <si>
    <t>文件打开计数</t>
  </si>
  <si>
    <t>存在 X个文件打开</t>
  </si>
  <si>
    <t>Memory_Alloc</t>
  </si>
  <si>
    <t>内存分配计数</t>
  </si>
  <si>
    <t>存在 X个内存分配</t>
  </si>
  <si>
    <t>Memory_Free</t>
  </si>
  <si>
    <t>内存释放计数</t>
  </si>
  <si>
    <t>存在 X个内存释放</t>
  </si>
  <si>
    <t>Net_Connect</t>
  </si>
  <si>
    <t>建立网络连接计数</t>
  </si>
  <si>
    <t>存在 X个建立网络连接</t>
  </si>
  <si>
    <t>Net_Socket</t>
  </si>
  <si>
    <t>网络套接字创建计数</t>
  </si>
  <si>
    <t>存在 X个网络套接字创建</t>
  </si>
  <si>
    <t>Exception</t>
  </si>
  <si>
    <t>缺陷包含异常处理</t>
  </si>
  <si>
    <t>使用 try-catch、setjmp/longjmp 等异常处理机制</t>
  </si>
  <si>
    <t>Catch</t>
  </si>
  <si>
    <t>Catch计数</t>
  </si>
  <si>
    <t>存在 X个Catch</t>
  </si>
  <si>
    <t>Longjmp</t>
  </si>
  <si>
    <t>Longjmp计数</t>
  </si>
  <si>
    <t>存在 X个Longjmp</t>
  </si>
  <si>
    <t>MaxNestingDepth</t>
  </si>
  <si>
    <t>异常抛出和捕获的层级深度</t>
  </si>
  <si>
    <t>异常抛出和捕获的层级深度为X</t>
  </si>
  <si>
    <t>Setjmp</t>
  </si>
  <si>
    <t>Setjmp计数</t>
  </si>
  <si>
    <t>存在 X个Setjmp</t>
  </si>
  <si>
    <t>Throw</t>
  </si>
  <si>
    <t>Throw计数</t>
  </si>
  <si>
    <t>存在 X个Throw</t>
  </si>
  <si>
    <t>Try</t>
  </si>
  <si>
    <t>Try计数</t>
  </si>
  <si>
    <t>存在 X个Try</t>
  </si>
  <si>
    <t>NestedBlock</t>
  </si>
  <si>
    <t>缺陷包含控制流嵌套</t>
  </si>
  <si>
    <t>存在多层嵌套控制结构</t>
  </si>
  <si>
    <t>IF_IF</t>
  </si>
  <si>
    <t>IF_IF计数</t>
  </si>
  <si>
    <t>存在 X个IF_IF</t>
  </si>
  <si>
    <t>IF_LOOP</t>
  </si>
  <si>
    <t>IF_LOOP计数</t>
  </si>
  <si>
    <t>存在 X个IF_LOOP</t>
  </si>
  <si>
    <t>LOOP_LOOP</t>
  </si>
  <si>
    <t>LOOP_LOOP计数</t>
  </si>
  <si>
    <t>存在 X个LOOP_LOOP</t>
  </si>
  <si>
    <t>MaxDepth</t>
  </si>
  <si>
    <t>最深嵌套深度</t>
  </si>
  <si>
    <t>最深嵌套为X级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</si>
</sst>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zoomScale="85" zoomScaleNormal="85" topLeftCell="A46" workbookViewId="0">
      <selection activeCell="H64" sqref="H64"/>
    </sheetView>
  </sheetViews>
  <sheetFormatPr defaultColWidth="9" defaultRowHeight="14.25" outlineLevelCol="7"/>
  <cols>
    <col min="1" max="3" width="12.75" style="2" customWidth="1"/>
    <col min="4" max="4" width="23.5" style="2" customWidth="1"/>
    <col min="5" max="5" width="37.5" style="2" customWidth="1"/>
    <col min="6" max="6" width="30.625" style="2" customWidth="1"/>
    <col min="7" max="7" width="12.75" style="2" customWidth="1"/>
    <col min="8" max="8" width="25.5" style="3" customWidth="1"/>
    <col min="9" max="9" width="24.125" customWidth="1"/>
  </cols>
  <sheetData>
    <row r="1" ht="1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8" customHeight="1" spans="1:8">
      <c r="A2" s="4" t="s">
        <v>8</v>
      </c>
      <c r="B2" s="5"/>
      <c r="C2" s="5" t="s">
        <v>9</v>
      </c>
      <c r="D2" s="5" t="str">
        <f>_xlfn.TEXTJOIN("_",TRUE,A2:C2)</f>
        <v>Sensitive_Context</v>
      </c>
      <c r="E2" s="5" t="str">
        <f>_xlfn.TEXTJOIN("_",TRUE,D2,G2)</f>
        <v>Sensitive_Context_1</v>
      </c>
      <c r="F2" s="5" t="s">
        <v>10</v>
      </c>
      <c r="G2" s="5">
        <v>1</v>
      </c>
      <c r="H2" s="6" t="s">
        <v>11</v>
      </c>
    </row>
    <row r="3" ht="18" customHeight="1" spans="1:8">
      <c r="A3" s="7" t="s">
        <v>8</v>
      </c>
      <c r="C3" s="2" t="s">
        <v>9</v>
      </c>
      <c r="D3" s="5" t="str">
        <f t="shared" ref="D3:D66" si="0">_xlfn.TEXTJOIN("_",TRUE,A3:C3)</f>
        <v>Sensitive_Context</v>
      </c>
      <c r="E3" s="5" t="str">
        <f t="shared" ref="E3:E66" si="1">_xlfn.TEXTJOIN("_",TRUE,D3,G3)</f>
        <v>Sensitive_Context_2</v>
      </c>
      <c r="F3" s="5" t="s">
        <v>10</v>
      </c>
      <c r="G3" s="2">
        <v>2</v>
      </c>
      <c r="H3" s="3" t="s">
        <v>12</v>
      </c>
    </row>
    <row r="4" ht="18" customHeight="1" spans="1:8">
      <c r="A4" s="7" t="s">
        <v>8</v>
      </c>
      <c r="C4" s="2" t="s">
        <v>9</v>
      </c>
      <c r="D4" s="5" t="str">
        <f t="shared" si="0"/>
        <v>Sensitive_Context</v>
      </c>
      <c r="E4" s="5" t="str">
        <f t="shared" si="1"/>
        <v>Sensitive_Context_4</v>
      </c>
      <c r="F4" s="5" t="s">
        <v>10</v>
      </c>
      <c r="G4" s="2">
        <v>4</v>
      </c>
      <c r="H4" s="3" t="s">
        <v>13</v>
      </c>
    </row>
    <row r="5" ht="18" customHeight="1" spans="1:8">
      <c r="A5" s="7" t="s">
        <v>8</v>
      </c>
      <c r="C5" s="2" t="s">
        <v>9</v>
      </c>
      <c r="D5" s="5" t="str">
        <f t="shared" si="0"/>
        <v>Sensitive_Context</v>
      </c>
      <c r="E5" s="5" t="str">
        <f t="shared" si="1"/>
        <v>Sensitive_Context_8</v>
      </c>
      <c r="F5" s="5" t="s">
        <v>10</v>
      </c>
      <c r="G5" s="2">
        <v>8</v>
      </c>
      <c r="H5" s="3" t="s">
        <v>14</v>
      </c>
    </row>
    <row r="6" ht="18" customHeight="1" spans="1:8">
      <c r="A6" s="8" t="s">
        <v>8</v>
      </c>
      <c r="B6" s="9"/>
      <c r="C6" s="9" t="s">
        <v>9</v>
      </c>
      <c r="D6" s="5" t="str">
        <f t="shared" si="0"/>
        <v>Sensitive_Context</v>
      </c>
      <c r="E6" s="5" t="str">
        <f t="shared" si="1"/>
        <v>Sensitive_Context_16</v>
      </c>
      <c r="F6" s="5" t="s">
        <v>10</v>
      </c>
      <c r="G6" s="9">
        <v>16</v>
      </c>
      <c r="H6" s="10" t="s">
        <v>15</v>
      </c>
    </row>
    <row r="7" ht="18" customHeight="1" spans="1:8">
      <c r="A7" s="4" t="s">
        <v>8</v>
      </c>
      <c r="B7" s="5"/>
      <c r="C7" s="5" t="s">
        <v>16</v>
      </c>
      <c r="D7" s="5" t="str">
        <f t="shared" si="0"/>
        <v>Sensitive_Field</v>
      </c>
      <c r="E7" s="5" t="str">
        <f t="shared" si="1"/>
        <v>Sensitive_Field_1</v>
      </c>
      <c r="F7" s="2" t="s">
        <v>17</v>
      </c>
      <c r="G7" s="5">
        <v>1</v>
      </c>
      <c r="H7" s="6" t="s">
        <v>18</v>
      </c>
    </row>
    <row r="8" ht="18" customHeight="1" spans="1:8">
      <c r="A8" s="7" t="s">
        <v>8</v>
      </c>
      <c r="C8" s="2" t="s">
        <v>16</v>
      </c>
      <c r="D8" s="5" t="str">
        <f t="shared" si="0"/>
        <v>Sensitive_Field</v>
      </c>
      <c r="E8" s="5" t="str">
        <f t="shared" si="1"/>
        <v>Sensitive_Field_2</v>
      </c>
      <c r="F8" s="2" t="s">
        <v>17</v>
      </c>
      <c r="G8" s="2">
        <v>2</v>
      </c>
      <c r="H8" s="3" t="s">
        <v>19</v>
      </c>
    </row>
    <row r="9" ht="18" customHeight="1" spans="1:8">
      <c r="A9" s="7" t="s">
        <v>8</v>
      </c>
      <c r="C9" s="2" t="s">
        <v>16</v>
      </c>
      <c r="D9" s="5" t="str">
        <f t="shared" si="0"/>
        <v>Sensitive_Field</v>
      </c>
      <c r="E9" s="5" t="str">
        <f t="shared" si="1"/>
        <v>Sensitive_Field_4</v>
      </c>
      <c r="F9" s="2" t="s">
        <v>17</v>
      </c>
      <c r="G9" s="2">
        <v>4</v>
      </c>
      <c r="H9" s="3" t="s">
        <v>20</v>
      </c>
    </row>
    <row r="10" ht="18" customHeight="1" spans="1:8">
      <c r="A10" s="8" t="s">
        <v>8</v>
      </c>
      <c r="B10" s="9"/>
      <c r="C10" s="9" t="s">
        <v>16</v>
      </c>
      <c r="D10" s="5" t="str">
        <f t="shared" si="0"/>
        <v>Sensitive_Field</v>
      </c>
      <c r="E10" s="5" t="str">
        <f t="shared" si="1"/>
        <v>Sensitive_Field_8</v>
      </c>
      <c r="F10" s="2" t="s">
        <v>17</v>
      </c>
      <c r="G10" s="9">
        <v>8</v>
      </c>
      <c r="H10" s="10" t="s">
        <v>21</v>
      </c>
    </row>
    <row r="11" ht="18" customHeight="1" spans="1:8">
      <c r="A11" s="11" t="s">
        <v>8</v>
      </c>
      <c r="B11" s="12"/>
      <c r="C11" s="12" t="s">
        <v>22</v>
      </c>
      <c r="D11" s="5" t="str">
        <f t="shared" si="0"/>
        <v>Sensitive_Flow</v>
      </c>
      <c r="E11" s="5" t="str">
        <f t="shared" si="1"/>
        <v>Sensitive_Flow_1</v>
      </c>
      <c r="F11" s="2" t="s">
        <v>23</v>
      </c>
      <c r="G11" s="12">
        <v>1</v>
      </c>
      <c r="H11" s="13" t="s">
        <v>24</v>
      </c>
    </row>
    <row r="12" ht="18" customHeight="1" spans="1:8">
      <c r="A12" s="4" t="s">
        <v>8</v>
      </c>
      <c r="B12" s="5"/>
      <c r="C12" s="5" t="s">
        <v>25</v>
      </c>
      <c r="D12" s="5" t="str">
        <f t="shared" si="0"/>
        <v>Sensitive_Path</v>
      </c>
      <c r="E12" s="5" t="str">
        <f t="shared" si="1"/>
        <v>Sensitive_Path_1</v>
      </c>
      <c r="F12" s="2" t="s">
        <v>26</v>
      </c>
      <c r="G12" s="5">
        <v>1</v>
      </c>
      <c r="H12" s="6" t="s">
        <v>27</v>
      </c>
    </row>
    <row r="13" ht="18" customHeight="1" spans="1:8">
      <c r="A13" s="7" t="s">
        <v>8</v>
      </c>
      <c r="C13" s="2" t="s">
        <v>25</v>
      </c>
      <c r="D13" s="5" t="str">
        <f t="shared" si="0"/>
        <v>Sensitive_Path</v>
      </c>
      <c r="E13" s="5" t="str">
        <f t="shared" si="1"/>
        <v>Sensitive_Path_2</v>
      </c>
      <c r="F13" s="2" t="s">
        <v>26</v>
      </c>
      <c r="G13" s="2">
        <v>2</v>
      </c>
      <c r="H13" s="14" t="s">
        <v>28</v>
      </c>
    </row>
    <row r="14" ht="18" customHeight="1" spans="1:8">
      <c r="A14" s="7" t="s">
        <v>8</v>
      </c>
      <c r="C14" s="2" t="s">
        <v>25</v>
      </c>
      <c r="D14" s="5" t="str">
        <f t="shared" si="0"/>
        <v>Sensitive_Path</v>
      </c>
      <c r="E14" s="5" t="str">
        <f t="shared" si="1"/>
        <v>Sensitive_Path_4</v>
      </c>
      <c r="F14" s="2" t="s">
        <v>26</v>
      </c>
      <c r="G14" s="2">
        <v>4</v>
      </c>
      <c r="H14" s="3" t="s">
        <v>29</v>
      </c>
    </row>
    <row r="15" ht="18" customHeight="1" spans="1:8">
      <c r="A15" s="7" t="s">
        <v>8</v>
      </c>
      <c r="C15" s="2" t="s">
        <v>25</v>
      </c>
      <c r="D15" s="5" t="str">
        <f t="shared" si="0"/>
        <v>Sensitive_Path</v>
      </c>
      <c r="E15" s="5" t="str">
        <f t="shared" si="1"/>
        <v>Sensitive_Path_8</v>
      </c>
      <c r="F15" s="2" t="s">
        <v>26</v>
      </c>
      <c r="G15" s="2">
        <v>8</v>
      </c>
      <c r="H15" s="3" t="s">
        <v>30</v>
      </c>
    </row>
    <row r="16" ht="18" customHeight="1" spans="1:8">
      <c r="A16" s="7" t="s">
        <v>8</v>
      </c>
      <c r="C16" s="2" t="s">
        <v>25</v>
      </c>
      <c r="D16" s="5" t="str">
        <f t="shared" si="0"/>
        <v>Sensitive_Path</v>
      </c>
      <c r="E16" s="5" t="str">
        <f t="shared" si="1"/>
        <v>Sensitive_Path_16</v>
      </c>
      <c r="F16" s="2" t="s">
        <v>26</v>
      </c>
      <c r="G16" s="9">
        <v>16</v>
      </c>
      <c r="H16" s="14" t="s">
        <v>31</v>
      </c>
    </row>
    <row r="17" ht="18" customHeight="1" spans="1:8">
      <c r="A17" s="4" t="s">
        <v>32</v>
      </c>
      <c r="B17" s="5" t="s">
        <v>33</v>
      </c>
      <c r="C17" s="5" t="s">
        <v>34</v>
      </c>
      <c r="D17" s="5" t="str">
        <f t="shared" si="0"/>
        <v>Semantic_Macro_ALL</v>
      </c>
      <c r="E17" s="5" t="str">
        <f t="shared" si="1"/>
        <v>Semantic_Macro_ALL_1</v>
      </c>
      <c r="F17" s="5" t="s">
        <v>35</v>
      </c>
      <c r="G17" s="5">
        <v>1</v>
      </c>
      <c r="H17" s="6" t="s">
        <v>36</v>
      </c>
    </row>
    <row r="18" ht="18" customHeight="1" spans="1:8">
      <c r="A18" s="7" t="s">
        <v>32</v>
      </c>
      <c r="B18" s="2" t="s">
        <v>33</v>
      </c>
      <c r="C18" s="2" t="s">
        <v>37</v>
      </c>
      <c r="D18" s="5" t="str">
        <f t="shared" si="0"/>
        <v>Semantic_Macro_OTHER</v>
      </c>
      <c r="E18" s="5" t="str">
        <f t="shared" si="1"/>
        <v>Semantic_Macro_OTHER_1</v>
      </c>
      <c r="G18" s="2">
        <v>1</v>
      </c>
      <c r="H18" s="3" t="s">
        <v>38</v>
      </c>
    </row>
    <row r="19" ht="18" customHeight="1" spans="1:8">
      <c r="A19" s="7" t="s">
        <v>32</v>
      </c>
      <c r="B19" s="2" t="s">
        <v>33</v>
      </c>
      <c r="C19" s="2" t="s">
        <v>37</v>
      </c>
      <c r="D19" s="5" t="str">
        <f t="shared" si="0"/>
        <v>Semantic_Macro_OTHER</v>
      </c>
      <c r="E19" s="5" t="str">
        <f t="shared" si="1"/>
        <v>Semantic_Macro_OTHER_2</v>
      </c>
      <c r="G19" s="2">
        <v>2</v>
      </c>
      <c r="H19" s="14" t="s">
        <v>39</v>
      </c>
    </row>
    <row r="20" ht="18" customHeight="1" spans="1:8">
      <c r="A20" s="4" t="s">
        <v>32</v>
      </c>
      <c r="B20" s="5" t="s">
        <v>40</v>
      </c>
      <c r="C20" s="5" t="s">
        <v>34</v>
      </c>
      <c r="D20" s="5" t="str">
        <f t="shared" si="0"/>
        <v>Semantic_Special_ALL</v>
      </c>
      <c r="E20" s="5" t="str">
        <f t="shared" si="1"/>
        <v>Semantic_Special_ALL_1</v>
      </c>
      <c r="F20" s="5" t="s">
        <v>41</v>
      </c>
      <c r="G20" s="5">
        <v>1</v>
      </c>
      <c r="H20" s="6" t="s">
        <v>36</v>
      </c>
    </row>
    <row r="21" ht="18" customHeight="1" spans="1:8">
      <c r="A21" s="7" t="s">
        <v>32</v>
      </c>
      <c r="B21" s="2" t="s">
        <v>40</v>
      </c>
      <c r="C21" s="2" t="s">
        <v>42</v>
      </c>
      <c r="D21" s="5" t="str">
        <f t="shared" si="0"/>
        <v>Semantic_Special_Pos</v>
      </c>
      <c r="E21" s="5" t="str">
        <f t="shared" si="1"/>
        <v>Semantic_Special_Pos_1</v>
      </c>
      <c r="F21" s="2" t="s">
        <v>43</v>
      </c>
      <c r="G21" s="2">
        <v>1</v>
      </c>
      <c r="H21" s="3" t="s">
        <v>44</v>
      </c>
    </row>
    <row r="22" ht="18" customHeight="1" spans="1:8">
      <c r="A22" s="7" t="s">
        <v>32</v>
      </c>
      <c r="B22" s="2" t="s">
        <v>40</v>
      </c>
      <c r="C22" s="2" t="s">
        <v>42</v>
      </c>
      <c r="D22" s="5" t="str">
        <f t="shared" si="0"/>
        <v>Semantic_Special_Pos</v>
      </c>
      <c r="E22" s="5" t="str">
        <f t="shared" si="1"/>
        <v>Semantic_Special_Pos_2</v>
      </c>
      <c r="F22" s="2" t="s">
        <v>43</v>
      </c>
      <c r="G22" s="2">
        <v>2</v>
      </c>
      <c r="H22" s="14" t="s">
        <v>45</v>
      </c>
    </row>
    <row r="23" ht="18" customHeight="1" spans="1:8">
      <c r="A23" s="7" t="s">
        <v>32</v>
      </c>
      <c r="B23" s="2" t="s">
        <v>40</v>
      </c>
      <c r="C23" s="2" t="s">
        <v>42</v>
      </c>
      <c r="D23" s="5" t="str">
        <f t="shared" si="0"/>
        <v>Semantic_Special_Pos</v>
      </c>
      <c r="E23" s="5" t="str">
        <f t="shared" si="1"/>
        <v>Semantic_Special_Pos_4</v>
      </c>
      <c r="F23" s="2" t="s">
        <v>43</v>
      </c>
      <c r="G23" s="2">
        <v>4</v>
      </c>
      <c r="H23" s="14" t="s">
        <v>46</v>
      </c>
    </row>
    <row r="24" ht="18" customHeight="1" spans="1:8">
      <c r="A24" s="7" t="s">
        <v>32</v>
      </c>
      <c r="B24" s="2" t="s">
        <v>40</v>
      </c>
      <c r="C24" s="2" t="s">
        <v>42</v>
      </c>
      <c r="D24" s="5" t="str">
        <f t="shared" si="0"/>
        <v>Semantic_Special_Pos</v>
      </c>
      <c r="E24" s="5" t="str">
        <f t="shared" si="1"/>
        <v>Semantic_Special_Pos_8</v>
      </c>
      <c r="F24" s="2" t="s">
        <v>43</v>
      </c>
      <c r="G24" s="2">
        <v>8</v>
      </c>
      <c r="H24" s="3" t="s">
        <v>47</v>
      </c>
    </row>
    <row r="25" ht="18" customHeight="1" spans="1:8">
      <c r="A25" s="7" t="s">
        <v>32</v>
      </c>
      <c r="B25" s="2" t="s">
        <v>40</v>
      </c>
      <c r="C25" s="2" t="s">
        <v>42</v>
      </c>
      <c r="D25" s="5" t="str">
        <f t="shared" si="0"/>
        <v>Semantic_Special_Pos</v>
      </c>
      <c r="E25" s="5" t="str">
        <f t="shared" si="1"/>
        <v>Semantic_Special_Pos_16</v>
      </c>
      <c r="F25" s="2" t="s">
        <v>43</v>
      </c>
      <c r="G25" s="2">
        <v>16</v>
      </c>
      <c r="H25" s="14" t="s">
        <v>46</v>
      </c>
    </row>
    <row r="26" ht="18" customHeight="1" spans="1:8">
      <c r="A26" s="7" t="s">
        <v>32</v>
      </c>
      <c r="B26" s="2" t="s">
        <v>40</v>
      </c>
      <c r="C26" s="2" t="s">
        <v>42</v>
      </c>
      <c r="D26" s="5" t="str">
        <f t="shared" si="0"/>
        <v>Semantic_Special_Pos</v>
      </c>
      <c r="E26" s="5" t="str">
        <f t="shared" si="1"/>
        <v>Semantic_Special_Pos_32</v>
      </c>
      <c r="F26" s="2" t="s">
        <v>43</v>
      </c>
      <c r="G26" s="2">
        <v>32</v>
      </c>
      <c r="H26" s="14" t="s">
        <v>46</v>
      </c>
    </row>
    <row r="27" ht="18" customHeight="1" spans="1:8">
      <c r="A27" s="7" t="s">
        <v>32</v>
      </c>
      <c r="B27" s="2" t="s">
        <v>40</v>
      </c>
      <c r="C27" s="2" t="s">
        <v>42</v>
      </c>
      <c r="D27" s="5" t="str">
        <f t="shared" si="0"/>
        <v>Semantic_Special_Pos</v>
      </c>
      <c r="E27" s="5" t="str">
        <f t="shared" si="1"/>
        <v>Semantic_Special_Pos_64</v>
      </c>
      <c r="F27" s="2" t="s">
        <v>43</v>
      </c>
      <c r="G27" s="2">
        <v>64</v>
      </c>
      <c r="H27" s="3" t="s">
        <v>48</v>
      </c>
    </row>
    <row r="28" ht="18" customHeight="1" spans="1:8">
      <c r="A28" s="7" t="s">
        <v>32</v>
      </c>
      <c r="B28" s="2" t="s">
        <v>40</v>
      </c>
      <c r="C28" s="2" t="s">
        <v>42</v>
      </c>
      <c r="D28" s="5" t="str">
        <f t="shared" si="0"/>
        <v>Semantic_Special_Pos</v>
      </c>
      <c r="E28" s="5" t="str">
        <f t="shared" si="1"/>
        <v>Semantic_Special_Pos_128</v>
      </c>
      <c r="F28" s="2" t="s">
        <v>43</v>
      </c>
      <c r="G28" s="2">
        <v>128</v>
      </c>
      <c r="H28" s="14" t="s">
        <v>46</v>
      </c>
    </row>
    <row r="29" ht="18" customHeight="1" spans="1:8">
      <c r="A29" s="7" t="s">
        <v>32</v>
      </c>
      <c r="B29" s="2" t="s">
        <v>40</v>
      </c>
      <c r="C29" s="2" t="s">
        <v>42</v>
      </c>
      <c r="D29" s="5" t="str">
        <f t="shared" si="0"/>
        <v>Semantic_Special_Pos</v>
      </c>
      <c r="E29" s="5" t="str">
        <f t="shared" si="1"/>
        <v>Semantic_Special_Pos_256</v>
      </c>
      <c r="F29" s="2" t="s">
        <v>43</v>
      </c>
      <c r="G29" s="2">
        <v>256</v>
      </c>
      <c r="H29" s="14" t="s">
        <v>46</v>
      </c>
    </row>
    <row r="30" ht="18" customHeight="1" spans="1:8">
      <c r="A30" s="2" t="s">
        <v>32</v>
      </c>
      <c r="B30" s="2" t="s">
        <v>40</v>
      </c>
      <c r="C30" s="2" t="s">
        <v>49</v>
      </c>
      <c r="D30" s="5" t="str">
        <f t="shared" si="0"/>
        <v>Semantic_Special_Op_Values</v>
      </c>
      <c r="E30" s="5" t="str">
        <f t="shared" si="1"/>
        <v>Semantic_Special_Op_Values_1</v>
      </c>
      <c r="F30" s="2" t="s">
        <v>50</v>
      </c>
      <c r="G30" s="2">
        <v>1</v>
      </c>
      <c r="H30" s="3" t="s">
        <v>51</v>
      </c>
    </row>
    <row r="31" ht="18" customHeight="1" spans="1:8">
      <c r="A31" s="2" t="s">
        <v>32</v>
      </c>
      <c r="B31" s="2" t="s">
        <v>40</v>
      </c>
      <c r="C31" s="2" t="s">
        <v>49</v>
      </c>
      <c r="D31" s="5" t="str">
        <f t="shared" si="0"/>
        <v>Semantic_Special_Op_Values</v>
      </c>
      <c r="E31" s="5" t="str">
        <f t="shared" si="1"/>
        <v>Semantic_Special_Op_Values_2</v>
      </c>
      <c r="F31" s="2" t="s">
        <v>50</v>
      </c>
      <c r="G31" s="2">
        <v>2</v>
      </c>
      <c r="H31" s="3" t="s">
        <v>52</v>
      </c>
    </row>
    <row r="32" ht="18" customHeight="1" spans="1:8">
      <c r="A32" s="2" t="s">
        <v>32</v>
      </c>
      <c r="B32" s="2" t="s">
        <v>40</v>
      </c>
      <c r="C32" s="2" t="s">
        <v>53</v>
      </c>
      <c r="D32" s="5" t="str">
        <f t="shared" si="0"/>
        <v>Semantic_Special_Assign</v>
      </c>
      <c r="E32" s="5" t="str">
        <f t="shared" si="1"/>
        <v>Semantic_Special_Assign_1</v>
      </c>
      <c r="F32" s="2" t="s">
        <v>54</v>
      </c>
      <c r="G32" s="2">
        <v>1</v>
      </c>
      <c r="H32" s="3" t="s">
        <v>55</v>
      </c>
    </row>
    <row r="33" ht="18" customHeight="1" spans="1:8">
      <c r="A33" s="2" t="s">
        <v>32</v>
      </c>
      <c r="B33" s="2" t="s">
        <v>40</v>
      </c>
      <c r="C33" s="2" t="s">
        <v>53</v>
      </c>
      <c r="D33" s="5" t="str">
        <f t="shared" si="0"/>
        <v>Semantic_Special_Assign</v>
      </c>
      <c r="E33" s="5" t="str">
        <f t="shared" si="1"/>
        <v>Semantic_Special_Assign_2</v>
      </c>
      <c r="F33" s="2" t="s">
        <v>54</v>
      </c>
      <c r="G33" s="2">
        <v>2</v>
      </c>
      <c r="H33" s="3" t="s">
        <v>56</v>
      </c>
    </row>
    <row r="34" ht="18" customHeight="1" spans="1:8">
      <c r="A34" s="2" t="s">
        <v>32</v>
      </c>
      <c r="B34" s="2" t="s">
        <v>40</v>
      </c>
      <c r="C34" s="2" t="s">
        <v>53</v>
      </c>
      <c r="D34" s="5" t="str">
        <f t="shared" si="0"/>
        <v>Semantic_Special_Assign</v>
      </c>
      <c r="E34" s="5" t="str">
        <f t="shared" si="1"/>
        <v>Semantic_Special_Assign_4</v>
      </c>
      <c r="F34" s="2" t="s">
        <v>54</v>
      </c>
      <c r="G34" s="2">
        <v>4</v>
      </c>
      <c r="H34" t="s">
        <v>57</v>
      </c>
    </row>
    <row r="35" ht="18" customHeight="1" spans="1:8">
      <c r="A35" s="2" t="s">
        <v>32</v>
      </c>
      <c r="B35" s="2" t="s">
        <v>40</v>
      </c>
      <c r="C35" s="2" t="s">
        <v>53</v>
      </c>
      <c r="D35" s="5" t="str">
        <f t="shared" si="0"/>
        <v>Semantic_Special_Assign</v>
      </c>
      <c r="E35" s="5" t="str">
        <f t="shared" si="1"/>
        <v>Semantic_Special_Assign_8</v>
      </c>
      <c r="F35" s="2" t="s">
        <v>54</v>
      </c>
      <c r="G35" s="2">
        <v>8</v>
      </c>
      <c r="H35" s="3" t="s">
        <v>58</v>
      </c>
    </row>
    <row r="36" ht="18" customHeight="1" spans="1:8">
      <c r="A36" s="2" t="s">
        <v>32</v>
      </c>
      <c r="B36" s="2" t="s">
        <v>40</v>
      </c>
      <c r="C36" s="2" t="s">
        <v>53</v>
      </c>
      <c r="D36" s="5" t="str">
        <f t="shared" si="0"/>
        <v>Semantic_Special_Assign</v>
      </c>
      <c r="E36" s="5" t="str">
        <f t="shared" si="1"/>
        <v>Semantic_Special_Assign_16</v>
      </c>
      <c r="F36" s="2" t="s">
        <v>54</v>
      </c>
      <c r="G36" s="2">
        <v>16</v>
      </c>
      <c r="H36" s="3" t="s">
        <v>59</v>
      </c>
    </row>
    <row r="37" ht="18" customHeight="1" spans="1:8">
      <c r="A37" s="4" t="s">
        <v>32</v>
      </c>
      <c r="B37" s="5" t="s">
        <v>60</v>
      </c>
      <c r="C37" s="5" t="s">
        <v>34</v>
      </c>
      <c r="D37" s="5" t="str">
        <f t="shared" si="0"/>
        <v>Semantic_TypeSafe_ALL</v>
      </c>
      <c r="E37" s="5" t="str">
        <f t="shared" si="1"/>
        <v>Semantic_TypeSafe_ALL_1</v>
      </c>
      <c r="F37" s="5" t="s">
        <v>61</v>
      </c>
      <c r="G37" s="5">
        <v>1</v>
      </c>
      <c r="H37" s="6" t="s">
        <v>36</v>
      </c>
    </row>
    <row r="38" ht="18" customHeight="1" spans="1:8">
      <c r="A38" s="7" t="s">
        <v>32</v>
      </c>
      <c r="B38" s="2" t="s">
        <v>60</v>
      </c>
      <c r="C38" s="2" t="s">
        <v>62</v>
      </c>
      <c r="D38" s="5" t="str">
        <f t="shared" si="0"/>
        <v>Semantic_TypeSafe_RETURN_types</v>
      </c>
      <c r="E38" s="5" t="str">
        <f t="shared" si="1"/>
        <v>Semantic_TypeSafe_RETURN_types_1</v>
      </c>
      <c r="F38" s="2" t="s">
        <v>63</v>
      </c>
      <c r="G38" s="2">
        <v>1</v>
      </c>
      <c r="H38" s="3" t="s">
        <v>64</v>
      </c>
    </row>
    <row r="39" ht="18" customHeight="1" spans="1:8">
      <c r="A39" s="7" t="s">
        <v>32</v>
      </c>
      <c r="B39" s="2" t="s">
        <v>60</v>
      </c>
      <c r="C39" s="2" t="s">
        <v>62</v>
      </c>
      <c r="D39" s="5" t="str">
        <f t="shared" si="0"/>
        <v>Semantic_TypeSafe_RETURN_types</v>
      </c>
      <c r="E39" s="5" t="str">
        <f t="shared" si="1"/>
        <v>Semantic_TypeSafe_RETURN_types_2</v>
      </c>
      <c r="F39" s="2" t="s">
        <v>63</v>
      </c>
      <c r="G39" s="2">
        <v>2</v>
      </c>
      <c r="H39" s="3" t="s">
        <v>65</v>
      </c>
    </row>
    <row r="40" ht="18" customHeight="1" spans="1:8">
      <c r="A40" s="7" t="s">
        <v>32</v>
      </c>
      <c r="B40" s="2" t="s">
        <v>60</v>
      </c>
      <c r="C40" s="2" t="s">
        <v>62</v>
      </c>
      <c r="D40" s="5" t="str">
        <f t="shared" si="0"/>
        <v>Semantic_TypeSafe_RETURN_types</v>
      </c>
      <c r="E40" s="5" t="str">
        <f t="shared" si="1"/>
        <v>Semantic_TypeSafe_RETURN_types_4</v>
      </c>
      <c r="F40" s="2" t="s">
        <v>63</v>
      </c>
      <c r="G40" s="2">
        <v>4</v>
      </c>
      <c r="H40" s="3" t="s">
        <v>66</v>
      </c>
    </row>
    <row r="41" ht="21" customHeight="1" spans="1:8">
      <c r="A41" s="7" t="s">
        <v>32</v>
      </c>
      <c r="B41" s="2" t="s">
        <v>60</v>
      </c>
      <c r="C41" s="2" t="s">
        <v>67</v>
      </c>
      <c r="D41" s="5" t="str">
        <f t="shared" si="0"/>
        <v>Semantic_TypeSafe_BO_types</v>
      </c>
      <c r="E41" s="5" t="str">
        <f t="shared" si="1"/>
        <v>Semantic_TypeSafe_BO_types_1</v>
      </c>
      <c r="F41" s="2" t="s">
        <v>68</v>
      </c>
      <c r="G41" s="2">
        <v>1</v>
      </c>
      <c r="H41" s="3" t="s">
        <v>69</v>
      </c>
    </row>
    <row r="42" ht="18" customHeight="1" spans="1:8">
      <c r="A42" s="7" t="s">
        <v>32</v>
      </c>
      <c r="B42" s="2" t="s">
        <v>60</v>
      </c>
      <c r="C42" s="2" t="s">
        <v>67</v>
      </c>
      <c r="D42" s="5" t="str">
        <f t="shared" si="0"/>
        <v>Semantic_TypeSafe_BO_types</v>
      </c>
      <c r="E42" s="5" t="str">
        <f t="shared" si="1"/>
        <v>Semantic_TypeSafe_BO_types_2</v>
      </c>
      <c r="F42" s="2" t="s">
        <v>68</v>
      </c>
      <c r="G42" s="2">
        <v>2</v>
      </c>
      <c r="H42" s="3" t="s">
        <v>70</v>
      </c>
    </row>
    <row r="43" ht="20.25" customHeight="1" spans="1:8">
      <c r="A43" s="7" t="s">
        <v>32</v>
      </c>
      <c r="B43" s="2" t="s">
        <v>60</v>
      </c>
      <c r="C43" s="2" t="s">
        <v>67</v>
      </c>
      <c r="D43" s="5" t="str">
        <f t="shared" si="0"/>
        <v>Semantic_TypeSafe_BO_types</v>
      </c>
      <c r="E43" s="5" t="str">
        <f t="shared" si="1"/>
        <v>Semantic_TypeSafe_BO_types_4</v>
      </c>
      <c r="F43" s="2" t="s">
        <v>68</v>
      </c>
      <c r="G43" s="2">
        <v>4</v>
      </c>
      <c r="H43" s="3" t="s">
        <v>71</v>
      </c>
    </row>
    <row r="44" ht="15" spans="1:8">
      <c r="A44" s="7" t="s">
        <v>32</v>
      </c>
      <c r="B44" s="2" t="s">
        <v>60</v>
      </c>
      <c r="C44" s="2" t="s">
        <v>72</v>
      </c>
      <c r="D44" s="5" t="str">
        <f t="shared" si="0"/>
        <v>Semantic_TypeSafe_E_CAST</v>
      </c>
      <c r="E44" s="5" t="str">
        <f t="shared" si="1"/>
        <v>Semantic_TypeSafe_E_CAST_1</v>
      </c>
      <c r="F44" s="2" t="s">
        <v>73</v>
      </c>
      <c r="G44" s="2">
        <v>1</v>
      </c>
      <c r="H44" s="3" t="s">
        <v>74</v>
      </c>
    </row>
    <row r="45" ht="15" spans="1:8">
      <c r="A45" s="7" t="s">
        <v>32</v>
      </c>
      <c r="B45" s="2" t="s">
        <v>60</v>
      </c>
      <c r="C45" s="2" t="s">
        <v>75</v>
      </c>
      <c r="D45" s="5" t="str">
        <f t="shared" si="0"/>
        <v>Semantic_TypeSafe_RECORD_DEF</v>
      </c>
      <c r="E45" s="5" t="str">
        <f t="shared" si="1"/>
        <v>Semantic_TypeSafe_RECORD_DEF_1</v>
      </c>
      <c r="F45" s="2" t="s">
        <v>76</v>
      </c>
      <c r="G45" s="2">
        <v>1</v>
      </c>
      <c r="H45" s="3" t="s">
        <v>77</v>
      </c>
    </row>
    <row r="46" ht="18" customHeight="1" spans="1:8">
      <c r="A46" s="7" t="s">
        <v>32</v>
      </c>
      <c r="B46" s="2" t="s">
        <v>60</v>
      </c>
      <c r="C46" s="2" t="s">
        <v>75</v>
      </c>
      <c r="D46" s="5" t="str">
        <f t="shared" si="0"/>
        <v>Semantic_TypeSafe_RECORD_DEF</v>
      </c>
      <c r="E46" s="5" t="str">
        <f t="shared" si="1"/>
        <v>Semantic_TypeSafe_RECORD_DEF_2</v>
      </c>
      <c r="F46" s="2" t="s">
        <v>76</v>
      </c>
      <c r="G46" s="2">
        <v>2</v>
      </c>
      <c r="H46" s="3" t="s">
        <v>78</v>
      </c>
    </row>
    <row r="47" ht="18" customHeight="1" spans="1:8">
      <c r="A47" s="7" t="s">
        <v>32</v>
      </c>
      <c r="B47" s="2" t="s">
        <v>60</v>
      </c>
      <c r="C47" s="2" t="s">
        <v>75</v>
      </c>
      <c r="D47" s="5" t="str">
        <f t="shared" si="0"/>
        <v>Semantic_TypeSafe_RECORD_DEF</v>
      </c>
      <c r="E47" s="5" t="str">
        <f t="shared" si="1"/>
        <v>Semantic_TypeSafe_RECORD_DEF_4</v>
      </c>
      <c r="F47" s="2" t="s">
        <v>76</v>
      </c>
      <c r="G47" s="2">
        <v>4</v>
      </c>
      <c r="H47" s="3" t="s">
        <v>79</v>
      </c>
    </row>
    <row r="48" ht="18" customHeight="1" spans="1:8">
      <c r="A48" s="7" t="s">
        <v>32</v>
      </c>
      <c r="B48" s="2" t="s">
        <v>60</v>
      </c>
      <c r="C48" s="2" t="s">
        <v>75</v>
      </c>
      <c r="D48" s="5" t="str">
        <f t="shared" si="0"/>
        <v>Semantic_TypeSafe_RECORD_DEF</v>
      </c>
      <c r="E48" s="5" t="str">
        <f t="shared" si="1"/>
        <v>Semantic_TypeSafe_RECORD_DEF_8</v>
      </c>
      <c r="F48" s="2" t="s">
        <v>76</v>
      </c>
      <c r="G48" s="2">
        <v>8</v>
      </c>
      <c r="H48" s="3" t="s">
        <v>80</v>
      </c>
    </row>
    <row r="49" ht="18" customHeight="1" spans="1:8">
      <c r="A49" s="7" t="s">
        <v>32</v>
      </c>
      <c r="B49" s="2" t="s">
        <v>60</v>
      </c>
      <c r="C49" s="2" t="s">
        <v>81</v>
      </c>
      <c r="D49" s="5" t="str">
        <f t="shared" si="0"/>
        <v>Semantic_TypeSafe_BitField</v>
      </c>
      <c r="E49" s="5" t="str">
        <f t="shared" si="1"/>
        <v>Semantic_TypeSafe_BitField_1</v>
      </c>
      <c r="F49" s="2" t="s">
        <v>82</v>
      </c>
      <c r="G49" s="2">
        <v>1</v>
      </c>
      <c r="H49" s="3" t="s">
        <v>83</v>
      </c>
    </row>
    <row r="50" ht="18" customHeight="1" spans="1:8">
      <c r="A50" s="7" t="s">
        <v>32</v>
      </c>
      <c r="B50" s="2" t="s">
        <v>60</v>
      </c>
      <c r="C50" s="2" t="s">
        <v>81</v>
      </c>
      <c r="D50" s="5" t="str">
        <f t="shared" si="0"/>
        <v>Semantic_TypeSafe_BitField</v>
      </c>
      <c r="E50" s="5" t="str">
        <f t="shared" si="1"/>
        <v>Semantic_TypeSafe_BitField_2</v>
      </c>
      <c r="F50" s="2" t="s">
        <v>82</v>
      </c>
      <c r="G50" s="2">
        <v>2</v>
      </c>
      <c r="H50" s="3" t="s">
        <v>84</v>
      </c>
    </row>
    <row r="51" ht="18" customHeight="1" spans="1:8">
      <c r="A51" s="8" t="s">
        <v>32</v>
      </c>
      <c r="B51" s="9" t="s">
        <v>60</v>
      </c>
      <c r="C51" s="9" t="s">
        <v>85</v>
      </c>
      <c r="D51" s="5" t="str">
        <f t="shared" ref="D51" si="2">_xlfn.TEXTJOIN("_",TRUE,A51:C51)</f>
        <v>Semantic_TypeSafe_MD_Array</v>
      </c>
      <c r="E51" s="5" t="str">
        <f t="shared" si="1"/>
        <v>Semantic_TypeSafe_MD_Array_1</v>
      </c>
      <c r="F51" s="2" t="s">
        <v>86</v>
      </c>
      <c r="G51" s="9">
        <v>1</v>
      </c>
      <c r="H51" s="10" t="s">
        <v>87</v>
      </c>
    </row>
    <row r="52" ht="18" customHeight="1" spans="1:8">
      <c r="A52" s="8" t="s">
        <v>32</v>
      </c>
      <c r="B52" s="9" t="s">
        <v>60</v>
      </c>
      <c r="C52" s="9" t="s">
        <v>85</v>
      </c>
      <c r="D52" s="5" t="str">
        <f t="shared" si="0"/>
        <v>Semantic_TypeSafe_MD_Array</v>
      </c>
      <c r="E52" s="5" t="str">
        <f t="shared" si="1"/>
        <v>Semantic_TypeSafe_MD_Array_2</v>
      </c>
      <c r="F52" s="2" t="s">
        <v>86</v>
      </c>
      <c r="G52" s="9">
        <v>2</v>
      </c>
      <c r="H52" s="10" t="s">
        <v>88</v>
      </c>
    </row>
    <row r="53" ht="18" customHeight="1" spans="1:8">
      <c r="A53" s="4" t="s">
        <v>32</v>
      </c>
      <c r="B53" s="2" t="s">
        <v>89</v>
      </c>
      <c r="C53" s="5" t="s">
        <v>34</v>
      </c>
      <c r="D53" s="2" t="str">
        <f t="shared" si="0"/>
        <v>Semantic_Control_ALL</v>
      </c>
      <c r="E53" s="2" t="str">
        <f t="shared" si="1"/>
        <v>Semantic_Control_ALL_1</v>
      </c>
      <c r="F53" s="2" t="s">
        <v>90</v>
      </c>
      <c r="G53" s="2">
        <v>1</v>
      </c>
      <c r="H53" s="6" t="s">
        <v>36</v>
      </c>
    </row>
    <row r="54" ht="18" customHeight="1" spans="1:8">
      <c r="A54" s="2" t="s">
        <v>32</v>
      </c>
      <c r="B54" s="2" t="s">
        <v>89</v>
      </c>
      <c r="C54" s="2" t="s">
        <v>91</v>
      </c>
      <c r="D54" s="2" t="str">
        <f t="shared" si="0"/>
        <v>Semantic_Control_DeadCode</v>
      </c>
      <c r="E54" s="2" t="str">
        <f t="shared" si="1"/>
        <v>Semantic_Control_DeadCode_1</v>
      </c>
      <c r="F54" s="2" t="s">
        <v>92</v>
      </c>
      <c r="G54" s="2">
        <v>1</v>
      </c>
      <c r="H54" s="3" t="s">
        <v>93</v>
      </c>
    </row>
    <row r="55" spans="1:8">
      <c r="A55" s="2" t="s">
        <v>32</v>
      </c>
      <c r="B55" s="2" t="s">
        <v>89</v>
      </c>
      <c r="C55" s="2" t="s">
        <v>91</v>
      </c>
      <c r="D55" s="2" t="str">
        <f t="shared" si="0"/>
        <v>Semantic_Control_DeadCode</v>
      </c>
      <c r="E55" s="2" t="str">
        <f t="shared" si="1"/>
        <v>Semantic_Control_DeadCode_2</v>
      </c>
      <c r="F55" s="2" t="s">
        <v>92</v>
      </c>
      <c r="G55" s="2">
        <v>2</v>
      </c>
      <c r="H55" s="3" t="s">
        <v>94</v>
      </c>
    </row>
    <row r="56" spans="1:8">
      <c r="A56" s="2" t="s">
        <v>32</v>
      </c>
      <c r="B56" s="2" t="s">
        <v>89</v>
      </c>
      <c r="C56" s="2" t="s">
        <v>91</v>
      </c>
      <c r="D56" s="2" t="str">
        <f t="shared" si="0"/>
        <v>Semantic_Control_DeadCode</v>
      </c>
      <c r="E56" s="2" t="str">
        <f t="shared" si="1"/>
        <v>Semantic_Control_DeadCode_4</v>
      </c>
      <c r="F56" s="2" t="s">
        <v>92</v>
      </c>
      <c r="G56" s="2">
        <v>4</v>
      </c>
      <c r="H56" s="3" t="s">
        <v>95</v>
      </c>
    </row>
    <row r="57" spans="1:8">
      <c r="A57" s="2" t="s">
        <v>32</v>
      </c>
      <c r="B57" s="2" t="s">
        <v>89</v>
      </c>
      <c r="C57" s="2" t="s">
        <v>91</v>
      </c>
      <c r="D57" s="2" t="str">
        <f t="shared" si="0"/>
        <v>Semantic_Control_DeadCode</v>
      </c>
      <c r="E57" s="2" t="str">
        <f t="shared" si="1"/>
        <v>Semantic_Control_DeadCode_8</v>
      </c>
      <c r="F57" s="2" t="s">
        <v>92</v>
      </c>
      <c r="G57" s="2">
        <v>8</v>
      </c>
      <c r="H57" s="3" t="s">
        <v>96</v>
      </c>
    </row>
    <row r="58" spans="1:8">
      <c r="A58" s="7" t="s">
        <v>32</v>
      </c>
      <c r="B58" s="2" t="s">
        <v>89</v>
      </c>
      <c r="C58" s="2" t="s">
        <v>97</v>
      </c>
      <c r="D58" s="2" t="str">
        <f t="shared" si="0"/>
        <v>Semantic_Control_LoopState</v>
      </c>
      <c r="E58" s="2" t="str">
        <f t="shared" si="1"/>
        <v>Semantic_Control_LoopState_8</v>
      </c>
      <c r="F58" s="2" t="s">
        <v>98</v>
      </c>
      <c r="G58" s="2">
        <v>8</v>
      </c>
      <c r="H58" t="s">
        <v>99</v>
      </c>
    </row>
    <row r="59" ht="15" spans="1:8">
      <c r="A59" s="8" t="s">
        <v>32</v>
      </c>
      <c r="B59" s="9" t="s">
        <v>89</v>
      </c>
      <c r="C59" s="9" t="s">
        <v>100</v>
      </c>
      <c r="D59" s="2" t="str">
        <f t="shared" si="0"/>
        <v>Semantic_Control_Switch_Default</v>
      </c>
      <c r="E59" s="9" t="str">
        <f t="shared" si="1"/>
        <v>Semantic_Control_Switch_Default_1</v>
      </c>
      <c r="F59" s="9" t="s">
        <v>101</v>
      </c>
      <c r="G59" s="9">
        <v>1</v>
      </c>
      <c r="H59" s="1" t="s">
        <v>102</v>
      </c>
    </row>
    <row r="60" spans="1:8">
      <c r="A60" s="2" t="s">
        <v>32</v>
      </c>
      <c r="B60" s="2" t="s">
        <v>103</v>
      </c>
      <c r="C60" s="2" t="s">
        <v>34</v>
      </c>
      <c r="D60" s="5" t="str">
        <f t="shared" si="0"/>
        <v>Semantic_ControlFlow_ALL</v>
      </c>
      <c r="E60" s="5" t="str">
        <f t="shared" si="1"/>
        <v>Semantic_ControlFlow_ALL_1</v>
      </c>
      <c r="F60" s="2" t="s">
        <v>104</v>
      </c>
      <c r="G60" s="2">
        <v>1</v>
      </c>
      <c r="H60" s="3" t="s">
        <v>105</v>
      </c>
    </row>
    <row r="61" spans="1:8">
      <c r="A61" s="2" t="s">
        <v>32</v>
      </c>
      <c r="B61" s="2" t="s">
        <v>103</v>
      </c>
      <c r="C61" s="2" t="s">
        <v>106</v>
      </c>
      <c r="D61" s="2" t="str">
        <f t="shared" si="0"/>
        <v>Semantic_ControlFlow_Case</v>
      </c>
      <c r="E61" s="2" t="str">
        <f t="shared" si="1"/>
        <v>Semantic_ControlFlow_Case_X</v>
      </c>
      <c r="F61" s="2" t="s">
        <v>107</v>
      </c>
      <c r="G61" s="2" t="s">
        <v>108</v>
      </c>
      <c r="H61" s="3" t="s">
        <v>109</v>
      </c>
    </row>
    <row r="62" spans="1:8">
      <c r="A62" s="2" t="s">
        <v>32</v>
      </c>
      <c r="B62" s="2" t="s">
        <v>103</v>
      </c>
      <c r="C62" s="2" t="s">
        <v>110</v>
      </c>
      <c r="D62" s="2" t="str">
        <f t="shared" si="0"/>
        <v>Semantic_ControlFlow_DoWhile</v>
      </c>
      <c r="E62" s="2" t="str">
        <f t="shared" si="1"/>
        <v>Semantic_ControlFlow_DoWhile_X</v>
      </c>
      <c r="F62" s="2" t="s">
        <v>111</v>
      </c>
      <c r="G62" s="2" t="s">
        <v>108</v>
      </c>
      <c r="H62" s="3" t="s">
        <v>112</v>
      </c>
    </row>
    <row r="63" spans="1:8">
      <c r="A63" s="2" t="s">
        <v>32</v>
      </c>
      <c r="B63" s="2" t="s">
        <v>103</v>
      </c>
      <c r="C63" s="2" t="s">
        <v>113</v>
      </c>
      <c r="D63" s="2" t="str">
        <f t="shared" si="0"/>
        <v>Semantic_ControlFlow_For</v>
      </c>
      <c r="E63" s="2" t="str">
        <f t="shared" si="1"/>
        <v>Semantic_ControlFlow_For_X</v>
      </c>
      <c r="F63" s="2" t="s">
        <v>114</v>
      </c>
      <c r="G63" s="2" t="s">
        <v>108</v>
      </c>
      <c r="H63" s="3" t="s">
        <v>115</v>
      </c>
    </row>
    <row r="64" spans="1:8">
      <c r="A64" s="2" t="s">
        <v>32</v>
      </c>
      <c r="B64" s="2" t="s">
        <v>103</v>
      </c>
      <c r="C64" s="2" t="s">
        <v>116</v>
      </c>
      <c r="D64" s="2" t="str">
        <f t="shared" si="0"/>
        <v>Semantic_ControlFlow_If</v>
      </c>
      <c r="E64" s="2" t="str">
        <f t="shared" si="1"/>
        <v>Semantic_ControlFlow_If_X</v>
      </c>
      <c r="F64" s="2" t="s">
        <v>117</v>
      </c>
      <c r="G64" s="2" t="s">
        <v>108</v>
      </c>
      <c r="H64" s="3" t="s">
        <v>118</v>
      </c>
    </row>
    <row r="65" spans="1:8">
      <c r="A65" s="2" t="s">
        <v>32</v>
      </c>
      <c r="B65" s="2" t="s">
        <v>103</v>
      </c>
      <c r="C65" s="2" t="s">
        <v>119</v>
      </c>
      <c r="D65" s="2" t="str">
        <f t="shared" si="0"/>
        <v>Semantic_ControlFlow_Switch</v>
      </c>
      <c r="E65" s="2" t="str">
        <f t="shared" si="1"/>
        <v>Semantic_ControlFlow_Switch_X</v>
      </c>
      <c r="F65" s="2" t="s">
        <v>120</v>
      </c>
      <c r="G65" s="2" t="s">
        <v>108</v>
      </c>
      <c r="H65" s="3" t="s">
        <v>121</v>
      </c>
    </row>
    <row r="66" s="1" customFormat="1" ht="15" spans="1:8">
      <c r="A66" s="9" t="s">
        <v>32</v>
      </c>
      <c r="B66" s="9" t="s">
        <v>103</v>
      </c>
      <c r="C66" s="9" t="s">
        <v>122</v>
      </c>
      <c r="D66" s="2" t="str">
        <f t="shared" si="0"/>
        <v>Semantic_ControlFlow_While</v>
      </c>
      <c r="E66" s="9" t="str">
        <f t="shared" si="1"/>
        <v>Semantic_ControlFlow_While_X</v>
      </c>
      <c r="F66" s="9" t="s">
        <v>123</v>
      </c>
      <c r="G66" s="9" t="s">
        <v>108</v>
      </c>
      <c r="H66" s="10" t="s">
        <v>124</v>
      </c>
    </row>
    <row r="67" spans="1:8">
      <c r="A67" s="7" t="s">
        <v>32</v>
      </c>
      <c r="B67" s="2" t="s">
        <v>125</v>
      </c>
      <c r="C67" s="2" t="s">
        <v>34</v>
      </c>
      <c r="D67" s="5" t="str">
        <f t="shared" ref="D67:D86" si="3">_xlfn.TEXTJOIN("_",TRUE,A67:C67)</f>
        <v>Semantic_Resource_ALL</v>
      </c>
      <c r="E67" s="2" t="str">
        <f t="shared" ref="E67:E86" si="4">_xlfn.TEXTJOIN("_",TRUE,D67,G67)</f>
        <v>Semantic_Resource_ALL_1</v>
      </c>
      <c r="F67" s="2" t="s">
        <v>126</v>
      </c>
      <c r="G67" s="2">
        <v>1</v>
      </c>
      <c r="H67" s="3" t="s">
        <v>127</v>
      </c>
    </row>
    <row r="68" spans="1:8">
      <c r="A68" s="2" t="s">
        <v>32</v>
      </c>
      <c r="B68" s="2" t="s">
        <v>125</v>
      </c>
      <c r="C68" s="2" t="s">
        <v>128</v>
      </c>
      <c r="D68" s="2" t="str">
        <f t="shared" si="3"/>
        <v>Semantic_Resource_DB_Access</v>
      </c>
      <c r="E68" s="2" t="str">
        <f t="shared" si="4"/>
        <v>Semantic_Resource_DB_Access_X</v>
      </c>
      <c r="F68" s="2" t="s">
        <v>129</v>
      </c>
      <c r="G68" s="2" t="s">
        <v>108</v>
      </c>
      <c r="H68" s="3" t="s">
        <v>130</v>
      </c>
    </row>
    <row r="69" spans="1:8">
      <c r="A69" s="2" t="s">
        <v>32</v>
      </c>
      <c r="B69" s="2" t="s">
        <v>125</v>
      </c>
      <c r="C69" s="2" t="s">
        <v>131</v>
      </c>
      <c r="D69" s="2" t="str">
        <f t="shared" si="3"/>
        <v>Semantic_Resource_File_Close</v>
      </c>
      <c r="E69" s="2" t="str">
        <f t="shared" si="4"/>
        <v>Semantic_Resource_File_Close_X</v>
      </c>
      <c r="F69" s="2" t="s">
        <v>132</v>
      </c>
      <c r="G69" s="2" t="s">
        <v>108</v>
      </c>
      <c r="H69" s="3" t="s">
        <v>133</v>
      </c>
    </row>
    <row r="70" spans="1:8">
      <c r="A70" s="2" t="s">
        <v>32</v>
      </c>
      <c r="B70" s="2" t="s">
        <v>125</v>
      </c>
      <c r="C70" s="2" t="s">
        <v>134</v>
      </c>
      <c r="D70" s="2" t="str">
        <f t="shared" si="3"/>
        <v>Semantic_Resource_File_Open</v>
      </c>
      <c r="E70" s="2" t="str">
        <f t="shared" si="4"/>
        <v>Semantic_Resource_File_Open_X</v>
      </c>
      <c r="F70" s="2" t="s">
        <v>135</v>
      </c>
      <c r="G70" s="2" t="s">
        <v>108</v>
      </c>
      <c r="H70" s="3" t="s">
        <v>136</v>
      </c>
    </row>
    <row r="71" spans="1:8">
      <c r="A71" s="2" t="s">
        <v>32</v>
      </c>
      <c r="B71" s="2" t="s">
        <v>125</v>
      </c>
      <c r="C71" s="2" t="s">
        <v>137</v>
      </c>
      <c r="D71" s="2" t="str">
        <f t="shared" si="3"/>
        <v>Semantic_Resource_Memory_Alloc</v>
      </c>
      <c r="E71" s="2" t="str">
        <f t="shared" si="4"/>
        <v>Semantic_Resource_Memory_Alloc_X</v>
      </c>
      <c r="F71" s="2" t="s">
        <v>138</v>
      </c>
      <c r="G71" s="2" t="s">
        <v>108</v>
      </c>
      <c r="H71" s="3" t="s">
        <v>139</v>
      </c>
    </row>
    <row r="72" spans="1:8">
      <c r="A72" s="2" t="s">
        <v>32</v>
      </c>
      <c r="B72" s="2" t="s">
        <v>125</v>
      </c>
      <c r="C72" s="2" t="s">
        <v>140</v>
      </c>
      <c r="D72" s="2" t="str">
        <f t="shared" si="3"/>
        <v>Semantic_Resource_Memory_Free</v>
      </c>
      <c r="E72" s="2" t="str">
        <f t="shared" si="4"/>
        <v>Semantic_Resource_Memory_Free_X</v>
      </c>
      <c r="F72" s="2" t="s">
        <v>141</v>
      </c>
      <c r="G72" s="2" t="s">
        <v>108</v>
      </c>
      <c r="H72" s="3" t="s">
        <v>142</v>
      </c>
    </row>
    <row r="73" spans="1:8">
      <c r="A73" s="2" t="s">
        <v>32</v>
      </c>
      <c r="B73" s="2" t="s">
        <v>125</v>
      </c>
      <c r="C73" s="2" t="s">
        <v>143</v>
      </c>
      <c r="D73" s="2" t="str">
        <f t="shared" si="3"/>
        <v>Semantic_Resource_Net_Connect</v>
      </c>
      <c r="E73" s="2" t="str">
        <f t="shared" si="4"/>
        <v>Semantic_Resource_Net_Connect_X</v>
      </c>
      <c r="F73" s="2" t="s">
        <v>144</v>
      </c>
      <c r="G73" s="2" t="s">
        <v>108</v>
      </c>
      <c r="H73" s="3" t="s">
        <v>145</v>
      </c>
    </row>
    <row r="74" s="1" customFormat="1" ht="15" spans="1:8">
      <c r="A74" s="9" t="s">
        <v>32</v>
      </c>
      <c r="B74" s="9" t="s">
        <v>125</v>
      </c>
      <c r="C74" s="9" t="s">
        <v>146</v>
      </c>
      <c r="D74" s="2" t="str">
        <f t="shared" si="3"/>
        <v>Semantic_Resource_Net_Socket</v>
      </c>
      <c r="E74" s="9" t="str">
        <f t="shared" si="4"/>
        <v>Semantic_Resource_Net_Socket_X</v>
      </c>
      <c r="F74" s="9" t="s">
        <v>147</v>
      </c>
      <c r="G74" s="9" t="s">
        <v>108</v>
      </c>
      <c r="H74" s="10" t="s">
        <v>148</v>
      </c>
    </row>
    <row r="75" spans="1:8">
      <c r="A75" s="2" t="s">
        <v>32</v>
      </c>
      <c r="B75" s="2" t="s">
        <v>149</v>
      </c>
      <c r="C75" s="2" t="s">
        <v>34</v>
      </c>
      <c r="D75" s="5" t="str">
        <f t="shared" si="3"/>
        <v>Semantic_Exception_ALL</v>
      </c>
      <c r="E75" s="2" t="str">
        <f t="shared" si="4"/>
        <v>Semantic_Exception_ALL_1</v>
      </c>
      <c r="F75" s="2" t="s">
        <v>150</v>
      </c>
      <c r="G75" s="2">
        <v>1</v>
      </c>
      <c r="H75" s="3" t="s">
        <v>151</v>
      </c>
    </row>
    <row r="76" spans="1:8">
      <c r="A76" s="2" t="s">
        <v>32</v>
      </c>
      <c r="B76" s="2" t="s">
        <v>149</v>
      </c>
      <c r="C76" s="2" t="s">
        <v>152</v>
      </c>
      <c r="D76" s="2" t="str">
        <f t="shared" si="3"/>
        <v>Semantic_Exception_Catch</v>
      </c>
      <c r="E76" s="2" t="str">
        <f t="shared" si="4"/>
        <v>Semantic_Exception_Catch_X</v>
      </c>
      <c r="F76" s="2" t="s">
        <v>153</v>
      </c>
      <c r="G76" s="2" t="s">
        <v>108</v>
      </c>
      <c r="H76" s="3" t="s">
        <v>154</v>
      </c>
    </row>
    <row r="77" spans="1:8">
      <c r="A77" s="2" t="s">
        <v>32</v>
      </c>
      <c r="B77" s="2" t="s">
        <v>149</v>
      </c>
      <c r="C77" s="2" t="s">
        <v>155</v>
      </c>
      <c r="D77" s="2" t="str">
        <f t="shared" si="3"/>
        <v>Semantic_Exception_Longjmp</v>
      </c>
      <c r="E77" s="2" t="str">
        <f t="shared" si="4"/>
        <v>Semantic_Exception_Longjmp_X</v>
      </c>
      <c r="F77" s="2" t="s">
        <v>156</v>
      </c>
      <c r="G77" s="2" t="s">
        <v>108</v>
      </c>
      <c r="H77" s="3" t="s">
        <v>157</v>
      </c>
    </row>
    <row r="78" spans="1:8">
      <c r="A78" s="2" t="s">
        <v>32</v>
      </c>
      <c r="B78" s="2" t="s">
        <v>149</v>
      </c>
      <c r="C78" s="2" t="s">
        <v>158</v>
      </c>
      <c r="D78" s="2" t="str">
        <f t="shared" si="3"/>
        <v>Semantic_Exception_MaxNestingDepth</v>
      </c>
      <c r="E78" s="2" t="str">
        <f t="shared" si="4"/>
        <v>Semantic_Exception_MaxNestingDepth_X</v>
      </c>
      <c r="F78" s="2" t="s">
        <v>159</v>
      </c>
      <c r="G78" s="2" t="s">
        <v>108</v>
      </c>
      <c r="H78" s="3" t="s">
        <v>160</v>
      </c>
    </row>
    <row r="79" spans="1:8">
      <c r="A79" s="2" t="s">
        <v>32</v>
      </c>
      <c r="B79" s="2" t="s">
        <v>149</v>
      </c>
      <c r="C79" s="2" t="s">
        <v>161</v>
      </c>
      <c r="D79" s="2" t="str">
        <f t="shared" si="3"/>
        <v>Semantic_Exception_Setjmp</v>
      </c>
      <c r="E79" s="2" t="str">
        <f t="shared" si="4"/>
        <v>Semantic_Exception_Setjmp_X</v>
      </c>
      <c r="F79" s="2" t="s">
        <v>162</v>
      </c>
      <c r="G79" s="2" t="s">
        <v>108</v>
      </c>
      <c r="H79" s="3" t="s">
        <v>163</v>
      </c>
    </row>
    <row r="80" spans="1:8">
      <c r="A80" s="2" t="s">
        <v>32</v>
      </c>
      <c r="B80" s="2" t="s">
        <v>149</v>
      </c>
      <c r="C80" s="2" t="s">
        <v>164</v>
      </c>
      <c r="D80" s="2" t="str">
        <f t="shared" si="3"/>
        <v>Semantic_Exception_Throw</v>
      </c>
      <c r="E80" s="2" t="str">
        <f t="shared" si="4"/>
        <v>Semantic_Exception_Throw_X</v>
      </c>
      <c r="F80" s="2" t="s">
        <v>165</v>
      </c>
      <c r="G80" s="2" t="s">
        <v>108</v>
      </c>
      <c r="H80" s="3" t="s">
        <v>166</v>
      </c>
    </row>
    <row r="81" s="1" customFormat="1" ht="15" spans="1:8">
      <c r="A81" s="9" t="s">
        <v>32</v>
      </c>
      <c r="B81" s="9" t="s">
        <v>149</v>
      </c>
      <c r="C81" s="9" t="s">
        <v>167</v>
      </c>
      <c r="D81" s="2" t="str">
        <f t="shared" si="3"/>
        <v>Semantic_Exception_Try</v>
      </c>
      <c r="E81" s="9" t="str">
        <f t="shared" si="4"/>
        <v>Semantic_Exception_Try_X</v>
      </c>
      <c r="F81" s="9" t="s">
        <v>168</v>
      </c>
      <c r="G81" s="9" t="s">
        <v>108</v>
      </c>
      <c r="H81" s="10" t="s">
        <v>169</v>
      </c>
    </row>
    <row r="82" spans="1:8">
      <c r="A82" s="2" t="s">
        <v>32</v>
      </c>
      <c r="B82" s="2" t="s">
        <v>170</v>
      </c>
      <c r="C82" s="2" t="s">
        <v>34</v>
      </c>
      <c r="D82" s="5" t="str">
        <f t="shared" si="3"/>
        <v>Semantic_NestedBlock_ALL</v>
      </c>
      <c r="E82" s="2" t="str">
        <f t="shared" si="4"/>
        <v>Semantic_NestedBlock_ALL_1</v>
      </c>
      <c r="F82" s="2" t="s">
        <v>171</v>
      </c>
      <c r="G82" s="2">
        <v>1</v>
      </c>
      <c r="H82" s="3" t="s">
        <v>172</v>
      </c>
    </row>
    <row r="83" spans="1:8">
      <c r="A83" s="2" t="s">
        <v>32</v>
      </c>
      <c r="B83" s="2" t="s">
        <v>170</v>
      </c>
      <c r="C83" s="2" t="s">
        <v>173</v>
      </c>
      <c r="D83" s="2" t="str">
        <f t="shared" si="3"/>
        <v>Semantic_NestedBlock_IF_IF</v>
      </c>
      <c r="E83" s="2" t="str">
        <f t="shared" si="4"/>
        <v>Semantic_NestedBlock_IF_IF_X</v>
      </c>
      <c r="F83" s="2" t="s">
        <v>174</v>
      </c>
      <c r="G83" s="2" t="s">
        <v>108</v>
      </c>
      <c r="H83" s="3" t="s">
        <v>175</v>
      </c>
    </row>
    <row r="84" spans="1:8">
      <c r="A84" s="2" t="s">
        <v>32</v>
      </c>
      <c r="B84" s="2" t="s">
        <v>170</v>
      </c>
      <c r="C84" s="2" t="s">
        <v>176</v>
      </c>
      <c r="D84" s="2" t="str">
        <f t="shared" si="3"/>
        <v>Semantic_NestedBlock_IF_LOOP</v>
      </c>
      <c r="E84" s="2" t="str">
        <f t="shared" si="4"/>
        <v>Semantic_NestedBlock_IF_LOOP_X</v>
      </c>
      <c r="F84" s="2" t="s">
        <v>177</v>
      </c>
      <c r="G84" s="2" t="s">
        <v>108</v>
      </c>
      <c r="H84" s="3" t="s">
        <v>178</v>
      </c>
    </row>
    <row r="85" spans="1:8">
      <c r="A85" s="2" t="s">
        <v>32</v>
      </c>
      <c r="B85" s="2" t="s">
        <v>170</v>
      </c>
      <c r="C85" s="2" t="s">
        <v>179</v>
      </c>
      <c r="D85" s="2" t="str">
        <f t="shared" si="3"/>
        <v>Semantic_NestedBlock_LOOP_LOOP</v>
      </c>
      <c r="E85" s="2" t="str">
        <f t="shared" si="4"/>
        <v>Semantic_NestedBlock_LOOP_LOOP_X</v>
      </c>
      <c r="F85" s="2" t="s">
        <v>180</v>
      </c>
      <c r="G85" s="2" t="s">
        <v>108</v>
      </c>
      <c r="H85" s="3" t="s">
        <v>181</v>
      </c>
    </row>
    <row r="86" spans="1:8">
      <c r="A86" s="2" t="s">
        <v>32</v>
      </c>
      <c r="B86" s="2" t="s">
        <v>170</v>
      </c>
      <c r="C86" s="2" t="s">
        <v>182</v>
      </c>
      <c r="D86" s="2" t="str">
        <f t="shared" si="3"/>
        <v>Semantic_NestedBlock_MaxDepth</v>
      </c>
      <c r="E86" s="9" t="str">
        <f t="shared" si="4"/>
        <v>Semantic_NestedBlock_MaxDepth_X</v>
      </c>
      <c r="F86" s="2" t="s">
        <v>183</v>
      </c>
      <c r="G86" s="2" t="s">
        <v>108</v>
      </c>
      <c r="H86" s="3" t="s">
        <v>184</v>
      </c>
    </row>
  </sheetData>
  <sortState ref="A2:C44">
    <sortCondition ref="A2:A44" descending="1"/>
    <sortCondition ref="B2:B4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煊 林</dc:creator>
  <cp:lastModifiedBy>林煊</cp:lastModifiedBy>
  <dcterms:created xsi:type="dcterms:W3CDTF">2025-03-25T08:50:00Z</dcterms:created>
  <dcterms:modified xsi:type="dcterms:W3CDTF">2026-03-12T07:42:13Z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EDAAB1A7D744424FB74E9C598535AE6D_12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